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open_minitab\"/>
    </mc:Choice>
  </mc:AlternateContent>
  <xr:revisionPtr revIDLastSave="0" documentId="13_ncr:1_{FA66EC71-BADB-405B-96AE-A6E21FF31394}" xr6:coauthVersionLast="47" xr6:coauthVersionMax="47" xr10:uidLastSave="{00000000-0000-0000-0000-000000000000}"/>
  <bookViews>
    <workbookView xWindow="-98" yWindow="-98" windowWidth="21795" windowHeight="12975" xr2:uid="{6A714B89-D2FB-45FD-A18B-DC43920448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M22" i="1"/>
  <c r="K21" i="1"/>
  <c r="K20" i="1"/>
  <c r="K13" i="1"/>
  <c r="K12" i="1"/>
  <c r="K11" i="1"/>
  <c r="K10" i="1"/>
  <c r="K9" i="1"/>
  <c r="B12" i="1"/>
  <c r="F13" i="1"/>
  <c r="F8" i="1"/>
  <c r="F9" i="1" s="1"/>
  <c r="B13" i="1"/>
  <c r="B8" i="1"/>
  <c r="B9" i="1" s="1"/>
  <c r="B10" i="1" s="1"/>
  <c r="C10" i="1" s="1"/>
  <c r="B14" i="1" l="1"/>
  <c r="B15" i="1" s="1"/>
  <c r="F12" i="1"/>
  <c r="F14" i="1" s="1"/>
  <c r="F15" i="1" s="1"/>
  <c r="G9" i="1"/>
  <c r="G10" i="1" s="1"/>
  <c r="C9" i="1"/>
  <c r="K8" i="1"/>
  <c r="K14" i="1" s="1"/>
  <c r="M14" i="1"/>
</calcChain>
</file>

<file path=xl/sharedStrings.xml><?xml version="1.0" encoding="utf-8"?>
<sst xmlns="http://schemas.openxmlformats.org/spreadsheetml/2006/main" count="89" uniqueCount="35">
  <si>
    <t>C</t>
    <phoneticPr fontId="1" type="noConversion"/>
  </si>
  <si>
    <t>ESR</t>
    <phoneticPr fontId="1" type="noConversion"/>
  </si>
  <si>
    <t>ESL</t>
    <phoneticPr fontId="1" type="noConversion"/>
  </si>
  <si>
    <t>루프길이(l)</t>
    <phoneticPr fontId="1" type="noConversion"/>
  </si>
  <si>
    <t>절연층 높이(h)</t>
    <phoneticPr fontId="1" type="noConversion"/>
  </si>
  <si>
    <t>Total Inductance</t>
    <phoneticPr fontId="1" type="noConversion"/>
  </si>
  <si>
    <t>Loop Inductance</t>
    <phoneticPr fontId="1" type="noConversion"/>
  </si>
  <si>
    <t>도체 폭(w)</t>
    <phoneticPr fontId="1" type="noConversion"/>
  </si>
  <si>
    <t>mm</t>
    <phoneticPr fontId="1" type="noConversion"/>
  </si>
  <si>
    <t>u0</t>
    <phoneticPr fontId="1" type="noConversion"/>
  </si>
  <si>
    <t>nH</t>
    <phoneticPr fontId="1" type="noConversion"/>
  </si>
  <si>
    <t>mOhm</t>
    <phoneticPr fontId="1" type="noConversion"/>
  </si>
  <si>
    <t>uF</t>
    <phoneticPr fontId="1" type="noConversion"/>
  </si>
  <si>
    <t>XL</t>
    <phoneticPr fontId="1" type="noConversion"/>
  </si>
  <si>
    <t>XC</t>
    <phoneticPr fontId="1" type="noConversion"/>
  </si>
  <si>
    <t>Xnet</t>
    <phoneticPr fontId="1" type="noConversion"/>
  </si>
  <si>
    <t>주파수</t>
    <phoneticPr fontId="1" type="noConversion"/>
  </si>
  <si>
    <t>MHz</t>
    <phoneticPr fontId="1" type="noConversion"/>
  </si>
  <si>
    <t>Ohm</t>
    <phoneticPr fontId="1" type="noConversion"/>
  </si>
  <si>
    <t>Impedance(Z)</t>
    <phoneticPr fontId="1" type="noConversion"/>
  </si>
  <si>
    <t>절연층 두께(htop)</t>
    <phoneticPr fontId="1" type="noConversion"/>
  </si>
  <si>
    <t>Layer1~2 평면 거리</t>
    <phoneticPr fontId="1" type="noConversion"/>
  </si>
  <si>
    <t>트레이스 폭(w)</t>
    <phoneticPr fontId="1" type="noConversion"/>
  </si>
  <si>
    <t>패드+트레이스 길이(Lenpad)</t>
    <phoneticPr fontId="1" type="noConversion"/>
  </si>
  <si>
    <t>20mil</t>
    <phoneticPr fontId="1" type="noConversion"/>
  </si>
  <si>
    <t>비아 간격(s)</t>
    <phoneticPr fontId="1" type="noConversion"/>
  </si>
  <si>
    <t>80mil</t>
    <phoneticPr fontId="1" type="noConversion"/>
  </si>
  <si>
    <t>비아 직경(D)</t>
    <phoneticPr fontId="1" type="noConversion"/>
  </si>
  <si>
    <t>10mil</t>
    <phoneticPr fontId="1" type="noConversion"/>
  </si>
  <si>
    <t>Ltrace</t>
    <phoneticPr fontId="1" type="noConversion"/>
  </si>
  <si>
    <t>부품길이(Lencap)</t>
    <phoneticPr fontId="1" type="noConversion"/>
  </si>
  <si>
    <t>63mil</t>
    <phoneticPr fontId="1" type="noConversion"/>
  </si>
  <si>
    <t>pH</t>
    <phoneticPr fontId="1" type="noConversion"/>
  </si>
  <si>
    <t>`</t>
    <phoneticPr fontId="1" type="noConversion"/>
  </si>
  <si>
    <t>Lvia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</si>
</sst>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33337</xdr:colOff>
      <xdr:row>4</xdr:row>
      <xdr:rowOff>33338</xdr:rowOff>
    </xdr:from>
    <xdr:to>
      <xdr:col>13</xdr:col>
      <xdr:colOff>390557</xdr:colOff>
      <xdr:row>6</xdr:row>
      <xdr:rowOff>195267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F7CE6FF-B818-B288-4F25-3310713A2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890588"/>
          <a:ext cx="4372007" cy="590554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14</xdr:row>
      <xdr:rowOff>85725</xdr:rowOff>
    </xdr:from>
    <xdr:to>
      <xdr:col>11</xdr:col>
      <xdr:colOff>14307</xdr:colOff>
      <xdr:row>17</xdr:row>
      <xdr:rowOff>23816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86E91B5-ED3B-A4ED-CB2F-1B46FEFDC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4788" y="3086100"/>
          <a:ext cx="2619394" cy="581029"/>
        </a:xfrm>
        <a:prstGeom prst="rect">
          <a:avLst/>
        </a:prstGeom>
      </xdr:spPr>
    </xdr:pic>
    <xdr:clientData/>
  </xdr:twoCellAnchor>
  <xdr:twoCellAnchor editAs="oneCell">
    <xdr:from>
      <xdr:col>9</xdr:col>
      <xdr:colOff>33337</xdr:colOff>
      <xdr:row>22</xdr:row>
      <xdr:rowOff>85726</xdr:rowOff>
    </xdr:from>
    <xdr:to>
      <xdr:col>14</xdr:col>
      <xdr:colOff>371517</xdr:colOff>
      <xdr:row>33</xdr:row>
      <xdr:rowOff>23830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0BFB683-84B6-51E0-527E-2C6651E61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0025" y="4800601"/>
          <a:ext cx="5686467" cy="22955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9E5F-6579-46F6-8633-DAF18005A8ED}">
  <dimension ref="A2:N22"/>
  <sheetViews>
    <sheetView tabSelected="1" topLeftCell="C13" workbookViewId="0">
      <selection activeCell="O23" sqref="O23"/>
    </sheetView>
  </sheetViews>
  <sheetFormatPr defaultRowHeight="16.899999999999999" x14ac:dyDescent="0.6"/>
  <cols>
    <col min="1" max="1" width="14.375" bestFit="1" customWidth="1"/>
    <col min="2" max="2" width="12.3125" bestFit="1" customWidth="1"/>
    <col min="5" max="5" width="15.0625" bestFit="1" customWidth="1"/>
    <col min="6" max="6" width="12.3125" bestFit="1" customWidth="1"/>
    <col min="7" max="7" width="12.125" bestFit="1" customWidth="1"/>
    <col min="10" max="10" width="25.3125" bestFit="1" customWidth="1"/>
    <col min="11" max="11" width="9.375" bestFit="1" customWidth="1"/>
    <col min="14" max="14" width="17.5" bestFit="1" customWidth="1"/>
  </cols>
  <sheetData>
    <row r="2" spans="1:14" x14ac:dyDescent="0.6">
      <c r="A2" t="s">
        <v>0</v>
      </c>
      <c r="B2">
        <v>1</v>
      </c>
      <c r="C2" t="s">
        <v>12</v>
      </c>
      <c r="E2" t="s">
        <v>0</v>
      </c>
      <c r="F2">
        <v>1</v>
      </c>
      <c r="G2" t="s">
        <v>12</v>
      </c>
      <c r="J2" t="s">
        <v>0</v>
      </c>
      <c r="K2">
        <v>1</v>
      </c>
      <c r="L2" t="s">
        <v>12</v>
      </c>
    </row>
    <row r="3" spans="1:14" x14ac:dyDescent="0.6">
      <c r="A3" t="s">
        <v>1</v>
      </c>
      <c r="B3">
        <v>10</v>
      </c>
      <c r="C3" t="s">
        <v>11</v>
      </c>
      <c r="E3" t="s">
        <v>1</v>
      </c>
      <c r="F3">
        <v>30</v>
      </c>
      <c r="G3" t="s">
        <v>11</v>
      </c>
      <c r="J3" t="s">
        <v>1</v>
      </c>
      <c r="K3">
        <v>30</v>
      </c>
      <c r="L3" t="s">
        <v>11</v>
      </c>
    </row>
    <row r="4" spans="1:14" x14ac:dyDescent="0.6">
      <c r="A4" t="s">
        <v>2</v>
      </c>
      <c r="B4">
        <v>0.5</v>
      </c>
      <c r="C4" t="s">
        <v>10</v>
      </c>
      <c r="E4" t="s">
        <v>2</v>
      </c>
      <c r="F4">
        <v>0.5</v>
      </c>
      <c r="G4" t="s">
        <v>10</v>
      </c>
      <c r="J4" t="s">
        <v>2</v>
      </c>
      <c r="K4">
        <v>0.5</v>
      </c>
      <c r="L4" t="s">
        <v>10</v>
      </c>
    </row>
    <row r="5" spans="1:14" x14ac:dyDescent="0.6">
      <c r="A5" t="s">
        <v>3</v>
      </c>
      <c r="B5">
        <v>2</v>
      </c>
      <c r="C5" t="s">
        <v>33</v>
      </c>
      <c r="E5" t="s">
        <v>3</v>
      </c>
      <c r="F5">
        <v>2</v>
      </c>
      <c r="G5" t="s">
        <v>8</v>
      </c>
    </row>
    <row r="6" spans="1:14" x14ac:dyDescent="0.6">
      <c r="A6" t="s">
        <v>4</v>
      </c>
      <c r="B6">
        <v>0.6</v>
      </c>
      <c r="C6" t="s">
        <v>8</v>
      </c>
      <c r="E6" t="s">
        <v>4</v>
      </c>
      <c r="F6">
        <v>0.6</v>
      </c>
      <c r="G6" t="s">
        <v>8</v>
      </c>
    </row>
    <row r="7" spans="1:14" x14ac:dyDescent="0.6">
      <c r="A7" t="s">
        <v>7</v>
      </c>
      <c r="B7">
        <v>0.5</v>
      </c>
      <c r="C7" t="s">
        <v>8</v>
      </c>
      <c r="E7" t="s">
        <v>7</v>
      </c>
      <c r="F7">
        <v>0.5</v>
      </c>
      <c r="G7" t="s">
        <v>8</v>
      </c>
    </row>
    <row r="8" spans="1:14" x14ac:dyDescent="0.6">
      <c r="A8" t="s">
        <v>9</v>
      </c>
      <c r="B8">
        <f>4*PI()*10^-7</f>
        <v>1.2566370614359173E-6</v>
      </c>
      <c r="E8" t="s">
        <v>9</v>
      </c>
      <c r="F8">
        <f>4*PI()*10^-7</f>
        <v>1.2566370614359173E-6</v>
      </c>
      <c r="J8" t="s">
        <v>30</v>
      </c>
      <c r="K8" s="2">
        <f t="shared" ref="K8:K13" si="0">M8/39.37</f>
        <v>1.6002032004064008</v>
      </c>
      <c r="L8" t="s">
        <v>8</v>
      </c>
      <c r="M8">
        <v>63</v>
      </c>
      <c r="N8" t="s">
        <v>31</v>
      </c>
    </row>
    <row r="9" spans="1:14" x14ac:dyDescent="0.6">
      <c r="A9" t="s">
        <v>6</v>
      </c>
      <c r="B9">
        <f>(B8*(B6*10^-3)*(B5*10^-3))/(B7*10^-3)+0.4*10^-9</f>
        <v>3.4159289474462009E-9</v>
      </c>
      <c r="C9">
        <f>B9*10^9</f>
        <v>3.4159289474462011</v>
      </c>
      <c r="D9" t="s">
        <v>10</v>
      </c>
      <c r="E9" t="s">
        <v>6</v>
      </c>
      <c r="F9">
        <f>(F8*(F6*10^-3)*(F5*10^-3))/(F7*10^-3)+0.4*10^-9</f>
        <v>3.4159289474462009E-9</v>
      </c>
      <c r="G9">
        <f>F9*10^9</f>
        <v>3.4159289474462011</v>
      </c>
      <c r="H9" t="s">
        <v>10</v>
      </c>
      <c r="J9" t="s">
        <v>20</v>
      </c>
      <c r="K9" s="1">
        <f t="shared" si="0"/>
        <v>0.12700025400050802</v>
      </c>
      <c r="L9" t="s">
        <v>8</v>
      </c>
      <c r="M9">
        <v>5</v>
      </c>
      <c r="N9" t="s">
        <v>21</v>
      </c>
    </row>
    <row r="10" spans="1:14" x14ac:dyDescent="0.6">
      <c r="A10" t="s">
        <v>5</v>
      </c>
      <c r="B10">
        <f>B9+(B4*10^-9)</f>
        <v>3.9159289474462013E-9</v>
      </c>
      <c r="C10">
        <f>B10*10^9</f>
        <v>3.9159289474462011</v>
      </c>
      <c r="D10" t="s">
        <v>10</v>
      </c>
      <c r="E10" t="s">
        <v>5</v>
      </c>
      <c r="G10">
        <f>G9+F4</f>
        <v>3.9159289474462011</v>
      </c>
      <c r="H10" t="s">
        <v>10</v>
      </c>
      <c r="J10" t="s">
        <v>22</v>
      </c>
      <c r="K10" s="2">
        <f t="shared" si="0"/>
        <v>0.50800101600203207</v>
      </c>
      <c r="L10" t="s">
        <v>8</v>
      </c>
      <c r="M10">
        <v>20</v>
      </c>
      <c r="N10" t="s">
        <v>24</v>
      </c>
    </row>
    <row r="11" spans="1:14" x14ac:dyDescent="0.6">
      <c r="A11" t="s">
        <v>16</v>
      </c>
      <c r="B11">
        <v>100</v>
      </c>
      <c r="C11" t="s">
        <v>17</v>
      </c>
      <c r="E11" t="s">
        <v>16</v>
      </c>
      <c r="F11">
        <v>100</v>
      </c>
      <c r="G11" t="s">
        <v>17</v>
      </c>
      <c r="J11" t="s">
        <v>23</v>
      </c>
      <c r="K11" s="2">
        <f t="shared" si="0"/>
        <v>0.50800101600203207</v>
      </c>
      <c r="L11" t="s">
        <v>8</v>
      </c>
      <c r="M11">
        <v>20</v>
      </c>
      <c r="N11" t="s">
        <v>24</v>
      </c>
    </row>
    <row r="12" spans="1:14" x14ac:dyDescent="0.6">
      <c r="A12" t="s">
        <v>13</v>
      </c>
      <c r="B12">
        <f>2*PI()*(B11*10^6)*2*10^-9</f>
        <v>1.2566370614359172</v>
      </c>
      <c r="C12" t="s">
        <v>18</v>
      </c>
      <c r="E12" t="s">
        <v>13</v>
      </c>
      <c r="F12">
        <f>2*PI()*(F11*10^6)*F9</f>
        <v>2.1462914572963396</v>
      </c>
      <c r="G12" t="s">
        <v>18</v>
      </c>
      <c r="H12">
        <f>1/0.0254</f>
        <v>39.370078740157481</v>
      </c>
      <c r="J12" t="s">
        <v>25</v>
      </c>
      <c r="K12" s="2">
        <f t="shared" si="0"/>
        <v>2.0320040640081283</v>
      </c>
      <c r="L12" t="s">
        <v>8</v>
      </c>
      <c r="M12">
        <v>80</v>
      </c>
      <c r="N12" t="s">
        <v>26</v>
      </c>
    </row>
    <row r="13" spans="1:14" x14ac:dyDescent="0.6">
      <c r="A13" t="s">
        <v>14</v>
      </c>
      <c r="B13">
        <f>1/(2*PI()*B11*10^6*B2*10^-6)</f>
        <v>1.5915494309189533E-3</v>
      </c>
      <c r="C13" t="s">
        <v>18</v>
      </c>
      <c r="E13" t="s">
        <v>14</v>
      </c>
      <c r="F13">
        <f>1/(2*PI()*F11*10^6*F2*10^-6)</f>
        <v>1.5915494309189533E-3</v>
      </c>
      <c r="G13" t="s">
        <v>18</v>
      </c>
      <c r="J13" t="s">
        <v>27</v>
      </c>
      <c r="K13" s="2">
        <f t="shared" si="0"/>
        <v>0.25400050800101603</v>
      </c>
      <c r="L13" t="s">
        <v>8</v>
      </c>
      <c r="M13">
        <v>10</v>
      </c>
      <c r="N13" t="s">
        <v>28</v>
      </c>
    </row>
    <row r="14" spans="1:14" x14ac:dyDescent="0.6">
      <c r="A14" t="s">
        <v>15</v>
      </c>
      <c r="B14">
        <f>B12-B13</f>
        <v>1.2550455120049984</v>
      </c>
      <c r="C14" t="s">
        <v>18</v>
      </c>
      <c r="E14" t="s">
        <v>15</v>
      </c>
      <c r="F14">
        <f>F12-F13</f>
        <v>2.1446999078654208</v>
      </c>
      <c r="G14" t="s">
        <v>18</v>
      </c>
      <c r="J14" s="3" t="s">
        <v>29</v>
      </c>
      <c r="K14" s="3">
        <f>128*(2*K11+K8)*(K9/K10)</f>
        <v>83.71856743713488</v>
      </c>
      <c r="L14" s="3"/>
      <c r="M14" s="3">
        <f>128*(2*M11+M8)*(M9/M10)</f>
        <v>3296</v>
      </c>
      <c r="N14" s="3" t="s">
        <v>32</v>
      </c>
    </row>
    <row r="15" spans="1:14" x14ac:dyDescent="0.6">
      <c r="A15" t="s">
        <v>19</v>
      </c>
      <c r="B15">
        <f>SQRT((B3*10^-3)*(B3*10^-3)+B14*B14)</f>
        <v>1.2550853505654063</v>
      </c>
      <c r="E15" t="s">
        <v>19</v>
      </c>
      <c r="F15">
        <f>SQRT((F3*10^-3)*(F3*10^-3)+F14*F14)</f>
        <v>2.1449097171671223</v>
      </c>
      <c r="J15" s="3"/>
      <c r="K15" s="3"/>
      <c r="L15" s="3"/>
      <c r="M15" s="3"/>
      <c r="N15" s="3"/>
    </row>
    <row r="16" spans="1:14" x14ac:dyDescent="0.6">
      <c r="J16" s="3"/>
      <c r="K16" s="3"/>
      <c r="L16" s="3"/>
      <c r="M16" s="3"/>
      <c r="N16" s="3"/>
    </row>
    <row r="17" spans="10:14" x14ac:dyDescent="0.6">
      <c r="J17" s="3"/>
      <c r="K17" s="3"/>
      <c r="L17" s="3"/>
      <c r="M17" s="3"/>
      <c r="N17" s="3"/>
    </row>
    <row r="19" spans="10:14" x14ac:dyDescent="0.6">
      <c r="J19" t="s">
        <v>20</v>
      </c>
      <c r="K19" s="1">
        <v>0.13</v>
      </c>
      <c r="L19" t="s">
        <v>8</v>
      </c>
      <c r="M19">
        <v>5</v>
      </c>
      <c r="N19" t="s">
        <v>21</v>
      </c>
    </row>
    <row r="20" spans="10:14" x14ac:dyDescent="0.6">
      <c r="J20" t="s">
        <v>25</v>
      </c>
      <c r="K20" s="2">
        <f>M20/39.37</f>
        <v>2.0320040640081283</v>
      </c>
      <c r="L20" t="s">
        <v>8</v>
      </c>
      <c r="M20">
        <v>80</v>
      </c>
      <c r="N20" t="s">
        <v>26</v>
      </c>
    </row>
    <row r="21" spans="10:14" x14ac:dyDescent="0.6">
      <c r="J21" t="s">
        <v>27</v>
      </c>
      <c r="K21" s="2">
        <f>M21/39.37</f>
        <v>0.25400050800101603</v>
      </c>
      <c r="L21" t="s">
        <v>8</v>
      </c>
      <c r="M21">
        <v>10</v>
      </c>
      <c r="N21" t="s">
        <v>28</v>
      </c>
    </row>
    <row r="22" spans="10:14" x14ac:dyDescent="0.6">
      <c r="J22" t="s">
        <v>34</v>
      </c>
      <c r="M22">
        <f>10*M19*LN(2*M20/M21)</f>
        <v>138.62943611198907</v>
      </c>
      <c r="N22" t="s">
        <v>32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재일 최</dc:creator>
  <cp:lastModifiedBy>재일 최</cp:lastModifiedBy>
  <dcterms:created xsi:type="dcterms:W3CDTF">2026-01-03T06:59:17Z</dcterms:created>
  <dcterms:modified xsi:type="dcterms:W3CDTF">2026-01-06T14:54:50Z</dcterms:modified>
</cp:coreProperties>
</file>